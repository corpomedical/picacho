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Unit economics" sheetId="2" state="visible" r:id="rId4"/>
    <sheet name="Money leaks" sheetId="3" state="visible" r:id="rId5"/>
    <sheet name="Competitor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<sst xmlns="http://schemas.openxmlformats.org/spreadsheetml/2006/main" count="130" uniqueCount="127">
  <si>
    <t xml:space="preserve">Picacho — pricing &amp; unit economics model</t>
  </si>
  <si>
    <t xml:space="preserve">Built 2026-08-10. BLUE cells are inputs you can change; black cells are formulas.</t>
  </si>
  <si>
    <t xml:space="preserve">Every downstream sheet references these cells — change one here and the whole model updates.</t>
  </si>
  <si>
    <t xml:space="preserve">Provider costs</t>
  </si>
  <si>
    <t xml:space="preserve">Kling 1.6 standard — $/second (in code today)</t>
  </si>
  <si>
    <t xml:space="preserve">src/lib/generations/providers/video-models.ts. NOTE: fal.ai's live pricing page (fetched 2026-08-10) no longer lists Kling 1.6 at all — treat as deprecated.</t>
  </si>
  <si>
    <t xml:space="preserve">Kling 2.5 Turbo Pro — $/second (current fal.ai list)</t>
  </si>
  <si>
    <t xml:space="preserve">Source: fal.ai/pricing, fetched 2026-08-10. Closest current-generation replacement for Kling 1.6.</t>
  </si>
  <si>
    <t xml:space="preserve">Veo 3 — $/second</t>
  </si>
  <si>
    <t xml:space="preserve">Source: fal.ai/pricing, fetched 2026-08-10. Matches the figure already in video-models.ts.</t>
  </si>
  <si>
    <t xml:space="preserve">Seconds per 1 credit (Kling baseline)</t>
  </si>
  <si>
    <t xml:space="preserve">1 credit = one 5-second Kling generation, per the credit peg in video-models.ts.</t>
  </si>
  <si>
    <t xml:space="preserve">GPT Image — $/image (high quality, 1024x1024)</t>
  </si>
  <si>
    <t xml:space="preserve">Web search 2026-08-10. Medium quality is ~$0.042. Which tier applies depends on OpenAI's default for gpt-image-2.</t>
  </si>
  <si>
    <t xml:space="preserve">Claude draft + OpenAI review — $ per attempt</t>
  </si>
  <si>
    <t xml:space="preserve">ESTIMATE — not verified. Two short LLM calls per attempt. Replace with real figures from your OpenAI/Anthropic usage dashboards.</t>
  </si>
  <si>
    <t xml:space="preserve">Measured from your own database (2026-08-04 to 08-10, n=31)</t>
  </si>
  <si>
    <t xml:space="preserve">Average provider attempts per generation</t>
  </si>
  <si>
    <t xml:space="preserve">Measured: 47 attempts across 30 completed generations. Each attempt re-runs the paid generation step.</t>
  </si>
  <si>
    <t xml:space="preserve">Overall failure rate</t>
  </si>
  <si>
    <t xml:space="preserve">Measured: 8 of 30 completed generations failed. Failures burn all 3 attempts AND still charge the user a credit.</t>
  </si>
  <si>
    <t xml:space="preserve">Image-only failure rate</t>
  </si>
  <si>
    <t xml:space="preserve">Measured: 6 of 12 image generations failed. This is the single biggest cost multiplier in the model.</t>
  </si>
  <si>
    <t xml:space="preserve">Commercial</t>
  </si>
  <si>
    <t xml:space="preserve">USD per 1 EUR</t>
  </si>
  <si>
    <t xml:space="preserve">Set this to your actual Stripe settlement rate.</t>
  </si>
  <si>
    <t xml:space="preserve">Stripe fee — % of charge</t>
  </si>
  <si>
    <t xml:space="preserve">ESTIMATE for EEA cards on a Spanish account. UK/non-EEA cards are materially higher (~2.5-3.25%). VERIFY in your Stripe dashboard.</t>
  </si>
  <si>
    <t xml:space="preserve">Stripe fee — fixed per charge (EUR)</t>
  </si>
  <si>
    <t xml:space="preserve">ESTIMATE. VERIFY in your Stripe dashboard.</t>
  </si>
  <si>
    <t xml:space="preserve">VAT rate applied</t>
  </si>
  <si>
    <t xml:space="preserve">Spain standard rate. For EU B2C digital services you owe the CUSTOMER's country rate (17%-27%) via OSS.</t>
  </si>
  <si>
    <t xml:space="preserve">Are listed prices VAT-INCLUSIVE? (1=yes, 0=no)</t>
  </si>
  <si>
    <t xml:space="preserve">CRITICAL. 1 = the VAT comes out of your EUR19. 0 = VAT is added on top at checkout and costs you nothing. Check Stripe Tax settings.</t>
  </si>
  <si>
    <t xml:space="preserve">Allowance utilisation (share of credits actually used)</t>
  </si>
  <si>
    <t xml:space="preserve">Key lever. 1.00 = every subscriber burns their full monthly allowance.</t>
  </si>
  <si>
    <t xml:space="preserve">Per-subscriber monthly economics (EUR)</t>
  </si>
  <si>
    <t xml:space="preserve">Assumes the listed EUR price. Costs are converted from USD at the rate on Assumptions.</t>
  </si>
  <si>
    <t xml:space="preserve">Line</t>
  </si>
  <si>
    <t xml:space="preserve">Starter</t>
  </si>
  <si>
    <t xml:space="preserve">Growth</t>
  </si>
  <si>
    <t xml:space="preserve">Studio</t>
  </si>
  <si>
    <t xml:space="preserve">Elite</t>
  </si>
  <si>
    <t xml:space="preserve">Notes</t>
  </si>
  <si>
    <t xml:space="preserve">List price (EUR / month)</t>
  </si>
  <si>
    <t xml:space="preserve">Source: src/lib/pricing.ts (USD) and PLAN_PRICE_IDS_EUR (same numbers in EUR).</t>
  </si>
  <si>
    <t xml:space="preserve">Included credits / month</t>
  </si>
  <si>
    <t xml:space="preserve">Source: PLAN_LIMITS in src/lib/plans.ts.</t>
  </si>
  <si>
    <t xml:space="preserve">VAT borne by us (if inclusive)</t>
  </si>
  <si>
    <t xml:space="preserve">If prices are VAT-inclusive this is a real deduction. Flip the switch on Assumptions to see the other case.</t>
  </si>
  <si>
    <t xml:space="preserve">Stripe fee</t>
  </si>
  <si>
    <t xml:space="preserve">Percentage plus fixed, per successful charge.</t>
  </si>
  <si>
    <t xml:space="preserve">Net revenue</t>
  </si>
  <si>
    <t xml:space="preserve">Credits actually used</t>
  </si>
  <si>
    <t xml:space="preserve">Utilisation lever on Assumptions.</t>
  </si>
  <si>
    <t xml:space="preserve">Provider cost per credit (USD)</t>
  </si>
  <si>
    <t xml:space="preserve">One credit = 5s of Kling, plus the draft/review calls, multiplied by the MEASURED average attempts.</t>
  </si>
  <si>
    <t xml:space="preserve">Generation cost (EUR)</t>
  </si>
  <si>
    <t xml:space="preserve">Gross margin (EUR)</t>
  </si>
  <si>
    <t xml:space="preserve">Gross margin %</t>
  </si>
  <si>
    <t xml:space="preserve">Break-even: credits before margin = 0</t>
  </si>
  <si>
    <t xml:space="preserve">How many credits a subscriber can burn before that subscription stops making money.</t>
  </si>
  <si>
    <t xml:space="preserve">Headroom vs included allowance</t>
  </si>
  <si>
    <t xml:space="preserve">Under 100% means a subscriber who uses their FULL allowance loses you money.</t>
  </si>
  <si>
    <t xml:space="preserve">Revenue per credit (EUR)</t>
  </si>
  <si>
    <t xml:space="preserve">Elite is the weakest of the four on this line — it sells credits cheaper than Studio while attracting the heaviest users.</t>
  </si>
  <si>
    <t xml:space="preserve">Cost per credit (EUR)</t>
  </si>
  <si>
    <t xml:space="preserve">Markup</t>
  </si>
  <si>
    <t xml:space="preserve">Uncapped or mispriced cost paths</t>
  </si>
  <si>
    <t xml:space="preserve">Each of these spends provider money WITHOUT consuming a plan credit, or spends more than the credit charged. Ordered by severity.</t>
  </si>
  <si>
    <t xml:space="preserve">Leak</t>
  </si>
  <si>
    <t xml:space="preserve">Severity</t>
  </si>
  <si>
    <t xml:space="preserve">Units/mo</t>
  </si>
  <si>
    <t xml:space="preserve">Cost (EUR)</t>
  </si>
  <si>
    <t xml:space="preserve">What's happening, and the fix</t>
  </si>
  <si>
    <t xml:space="preserve">Unlimited AI character photos</t>
  </si>
  <si>
    <t xml:space="preserve">CRITICAL</t>
  </si>
  <si>
    <t xml:space="preserve">generateReferenceImage in src/lib/characters/actions.ts meters only plan='none' accounts (2 lifetime). Every PAYING plan gets unlimited AI-generated reference photos that cost real money and consume ZERO credits. A Starter subscriber on EUR19 generating 50 photos/month costs more than they pay. Fix: charge a credit (or a fraction) per generated reference photo, or cap per plan.</t>
  </si>
  <si>
    <t xml:space="preserve">Failed generations bill 3x</t>
  </si>
  <si>
    <t xml:space="preserve">HIGH</t>
  </si>
  <si>
    <t xml:space="preserve">Measured 26.7% failure rate; every failure burns all 3 attempts. You pay 3 provider calls and collect 1 credit, and the user gets nothing — so they are also likely to retry, doubling it again. Fix: stop charging a credit for a total failure, and cut max attempts to 2 for image generations, where the observed failure rate is 50%.</t>
  </si>
  <si>
    <t xml:space="preserve">Dialogue / lipsync not metered</t>
  </si>
  <si>
    <t xml:space="preserve">MEDIUM</t>
  </si>
  <si>
    <t xml:space="preserve">wantsDialogue adds ElevenLabs speech plus a Sync Labs lipsync re-render, but creditWeight is unchanged (src/lib/generations/actions.ts). A dialogue video costs materially more than a silent one and is charged identically. Cost per unit is an ESTIMATE. Fix: add a credit surcharge when dialogue is present.</t>
  </si>
  <si>
    <t xml:space="preserve">Voice mode is unmetered</t>
  </si>
  <si>
    <t xml:space="preserve">Voice mode calls OpenAI Whisper for every utterance and OpenAI TTS for every agent reply, with no cap and no credit cost. The new conversational agent speaks 3-4 lines per generation, multiplying this. Cost per exchange is an ESTIMATE. Fix: cap sessions per day, or fold voice into the credit system.</t>
  </si>
  <si>
    <t xml:space="preserve">Stopped generations still billed</t>
  </si>
  <si>
    <t xml:space="preserve">LOW</t>
  </si>
  <si>
    <t xml:space="preserve">Cancellation is cooperative, so a provider call already in flight completes and is billed even though the result is discarded. Largely unavoidable without provider-side abort support. Already documented in discardStoppedGeneration.</t>
  </si>
  <si>
    <t xml:space="preserve">Total leak per active subscriber / month</t>
  </si>
  <si>
    <t xml:space="preserve">Compare against Starter net revenue on 'Unit economics' row 9. Units/mo are illustrative — change the blue cells to your own expectation.</t>
  </si>
  <si>
    <t xml:space="preserve">Competitor pricing (researched 2026-08-10)</t>
  </si>
  <si>
    <t xml:space="preserve">Entry price is the cheapest paid tier. Direct comparison is imperfect: these tools meter differently (per credit, per minute, per seat).</t>
  </si>
  <si>
    <t xml:space="preserve">Product</t>
  </si>
  <si>
    <t xml:space="preserve">Entry / mo</t>
  </si>
  <si>
    <t xml:space="preserve">Top public tier</t>
  </si>
  <si>
    <t xml:space="preserve">Model</t>
  </si>
  <si>
    <t xml:space="preserve">Position vs Picacho</t>
  </si>
  <si>
    <t xml:space="preserve">Picacho</t>
  </si>
  <si>
    <t xml:space="preserve">$19</t>
  </si>
  <si>
    <t xml:space="preserve">$499 (Elite)</t>
  </si>
  <si>
    <t xml:space="preserve">Credits (1 = 5s video)</t>
  </si>
  <si>
    <t xml:space="preserve">Highest top-end price of any product listed here.</t>
  </si>
  <si>
    <t xml:space="preserve">HeyGen</t>
  </si>
  <si>
    <t xml:space="preserve">$29 (Creator)</t>
  </si>
  <si>
    <t xml:space="preserve">$149 (Business)</t>
  </si>
  <si>
    <t xml:space="preserve">Credits per minute</t>
  </si>
  <si>
    <t xml:space="preserve">Avatar-led marketing video. Its TOP public tier is under a third of Picacho Elite.</t>
  </si>
  <si>
    <t xml:space="preserve">Synthesia</t>
  </si>
  <si>
    <t xml:space="preserve">$22 (Starter)</t>
  </si>
  <si>
    <t xml:space="preserve">Enterprise (quoted)</t>
  </si>
  <si>
    <t xml:space="preserve">Credits / minutes</t>
  </si>
  <si>
    <t xml:space="preserve">Avatar video for training and comms. Closest analogue to the Starter tier.</t>
  </si>
  <si>
    <t xml:space="preserve">Runway</t>
  </si>
  <si>
    <t xml:space="preserve">$15 (Standard)</t>
  </si>
  <si>
    <t xml:space="preserve">Cinematic generative video. Cheapest entry point of the group.</t>
  </si>
  <si>
    <t xml:space="preserve">Kling AI (direct)</t>
  </si>
  <si>
    <t xml:space="preserve">$6.99</t>
  </si>
  <si>
    <t xml:space="preserve">$180</t>
  </si>
  <si>
    <t xml:space="preserve">Credits</t>
  </si>
  <si>
    <t xml:space="preserve">The same underlying model Picacho resells, bought direct. This is the price anchor customers will find.</t>
  </si>
  <si>
    <t xml:space="preserve">Reading of the comparison</t>
  </si>
  <si>
    <t xml:space="preserve">• Starter at $19 for 10 generations is $1.90 per generation. A customer can buy Kling directly for $6.99/mo. The pipeline (draft, review, validate, character consistency) has to be worth that gap, and the pricing page currently does not argue for it.</t>
  </si>
  <si>
    <t xml:space="preserve">• Studio ($299) and Elite ($499) sit far above every public competitor tier found. HeyGen's top public tier is $149. Unless Elite is being sold to agencies with a named outcome attached, those two tiers will struggle on a comparison page.</t>
  </si>
  <si>
    <t xml:space="preserve">• Every competitor above offers a free tier or trial. Picacho's plan='none' gives 2 AI reference photos and zero generations, so a prospect cannot experience the core product before paying.</t>
  </si>
  <si>
    <t xml:space="preserve">• Elite sells credits cheaper than Studio ($1.66 vs $1.99 per credit) while attracting the heaviest users — the discount runs the wrong way relative to usage risk.</t>
  </si>
  <si>
    <t xml:space="preserve">Sources: fal.ai/pricing (fetched 2026-08-10); vendor pricing pages and comparison roundups via web search 2026-08-10. Competitor tiers change often — re-check before publishing any comparison.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</si>
</sst>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%"/>
    <numFmt numFmtId="167" formatCode="\$#,##0;&quot;($&quot;#,##0\);\-"/>
    <numFmt numFmtId="168" formatCode="\$#,##0.00;&quot;($&quot;#,##0.00\);\-"/>
    <numFmt numFmtId="169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404040"/>
        <bgColor rgb="FF55555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  <col collapsed="false" customWidth="true" hidden="false" outlineLevel="0" max="3" min="3" style="1" width="7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  <c r="B5" s="5"/>
      <c r="C5" s="5"/>
    </row>
    <row r="6" customFormat="false" ht="18.75" hidden="false" customHeight="true" outlineLevel="0" collapsed="false">
      <c r="A6" s="6" t="s">
        <v>4</v>
      </c>
      <c r="B6" s="7" t="n">
        <v>0.056</v>
      </c>
      <c r="C6" s="8" t="s">
        <v>5</v>
      </c>
    </row>
    <row r="7" customFormat="false" ht="15" hidden="false" customHeight="true" outlineLevel="0" collapsed="false">
      <c r="A7" s="6" t="s">
        <v>6</v>
      </c>
      <c r="B7" s="7" t="n">
        <v>0.07</v>
      </c>
      <c r="C7" s="8" t="s">
        <v>7</v>
      </c>
    </row>
    <row r="8" customFormat="false" ht="15" hidden="false" customHeight="true" outlineLevel="0" collapsed="false">
      <c r="A8" s="6" t="s">
        <v>8</v>
      </c>
      <c r="B8" s="7" t="n">
        <v>0.4</v>
      </c>
      <c r="C8" s="8" t="s">
        <v>9</v>
      </c>
    </row>
    <row r="9" customFormat="false" ht="15" hidden="false" customHeight="true" outlineLevel="0" collapsed="false">
      <c r="A9" s="6" t="s">
        <v>10</v>
      </c>
      <c r="B9" s="9" t="n">
        <v>5</v>
      </c>
      <c r="C9" s="8" t="s">
        <v>11</v>
      </c>
    </row>
    <row r="10" customFormat="false" ht="18.75" hidden="false" customHeight="true" outlineLevel="0" collapsed="false">
      <c r="A10" s="6" t="s">
        <v>12</v>
      </c>
      <c r="B10" s="7" t="n">
        <v>0.167</v>
      </c>
      <c r="C10" s="8" t="s">
        <v>13</v>
      </c>
    </row>
    <row r="11" customFormat="false" ht="18.75" hidden="false" customHeight="true" outlineLevel="0" collapsed="false">
      <c r="A11" s="6" t="s">
        <v>14</v>
      </c>
      <c r="B11" s="7" t="n">
        <v>0.02</v>
      </c>
      <c r="C11" s="8" t="s">
        <v>15</v>
      </c>
    </row>
    <row r="12" customFormat="false" ht="15" hidden="false" customHeight="true" outlineLevel="0" collapsed="false">
      <c r="A12" s="4" t="s">
        <v>16</v>
      </c>
      <c r="B12" s="5"/>
      <c r="C12" s="5"/>
    </row>
    <row r="13" customFormat="false" ht="18.75" hidden="false" customHeight="true" outlineLevel="0" collapsed="false">
      <c r="A13" s="6" t="s">
        <v>17</v>
      </c>
      <c r="B13" s="7" t="n">
        <v>1.57</v>
      </c>
      <c r="C13" s="8" t="s">
        <v>18</v>
      </c>
    </row>
    <row r="14" customFormat="false" ht="18.75" hidden="false" customHeight="true" outlineLevel="0" collapsed="false">
      <c r="A14" s="6" t="s">
        <v>19</v>
      </c>
      <c r="B14" s="10" t="n">
        <v>0.267</v>
      </c>
      <c r="C14" s="8" t="s">
        <v>20</v>
      </c>
    </row>
    <row r="15" customFormat="false" ht="15" hidden="false" customHeight="true" outlineLevel="0" collapsed="false">
      <c r="A15" s="6" t="s">
        <v>21</v>
      </c>
      <c r="B15" s="10" t="n">
        <v>0.5</v>
      </c>
      <c r="C15" s="8" t="s">
        <v>22</v>
      </c>
    </row>
    <row r="16" customFormat="false" ht="15" hidden="false" customHeight="true" outlineLevel="0" collapsed="false">
      <c r="A16" s="4" t="s">
        <v>23</v>
      </c>
      <c r="B16" s="5"/>
      <c r="C16" s="5"/>
    </row>
    <row r="17" customFormat="false" ht="15" hidden="false" customHeight="true" outlineLevel="0" collapsed="false">
      <c r="A17" s="6" t="s">
        <v>24</v>
      </c>
      <c r="B17" s="7" t="n">
        <v>1.08</v>
      </c>
      <c r="C17" s="8" t="s">
        <v>25</v>
      </c>
    </row>
    <row r="18" customFormat="false" ht="18.75" hidden="false" customHeight="true" outlineLevel="0" collapsed="false">
      <c r="A18" s="6" t="s">
        <v>26</v>
      </c>
      <c r="B18" s="7" t="n">
        <v>0.015</v>
      </c>
      <c r="C18" s="8" t="s">
        <v>27</v>
      </c>
    </row>
    <row r="19" customFormat="false" ht="15" hidden="false" customHeight="true" outlineLevel="0" collapsed="false">
      <c r="A19" s="6" t="s">
        <v>28</v>
      </c>
      <c r="B19" s="7" t="n">
        <v>0.25</v>
      </c>
      <c r="C19" s="8" t="s">
        <v>29</v>
      </c>
    </row>
    <row r="20" customFormat="false" ht="18.75" hidden="false" customHeight="true" outlineLevel="0" collapsed="false">
      <c r="A20" s="6" t="s">
        <v>30</v>
      </c>
      <c r="B20" s="10" t="n">
        <v>0.21</v>
      </c>
      <c r="C20" s="8" t="s">
        <v>31</v>
      </c>
    </row>
    <row r="21" customFormat="false" ht="18.75" hidden="false" customHeight="true" outlineLevel="0" collapsed="false">
      <c r="A21" s="6" t="s">
        <v>32</v>
      </c>
      <c r="B21" s="9" t="n">
        <v>1</v>
      </c>
      <c r="C21" s="8" t="s">
        <v>33</v>
      </c>
    </row>
    <row r="22" customFormat="false" ht="15" hidden="false" customHeight="true" outlineLevel="0" collapsed="false">
      <c r="A22" s="6" t="s">
        <v>34</v>
      </c>
      <c r="B22" s="10" t="n">
        <v>0.7</v>
      </c>
      <c r="C22" s="8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5"/>
    <col collapsed="false" customWidth="true" hidden="false" outlineLevel="0" max="6" min="6" style="1" width="60"/>
  </cols>
  <sheetData>
    <row r="1" customFormat="false" ht="15.75" hidden="false" customHeight="true" outlineLevel="0" collapsed="false">
      <c r="A1" s="2" t="s">
        <v>36</v>
      </c>
    </row>
    <row r="2" customFormat="false" ht="15" hidden="false" customHeight="true" outlineLevel="0" collapsed="false">
      <c r="A2" s="3" t="s">
        <v>37</v>
      </c>
    </row>
    <row r="4" customFormat="false" ht="15" hidden="false" customHeight="true" outlineLevel="0" collapsed="false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</row>
    <row r="5" customFormat="false" ht="15" hidden="false" customHeight="true" outlineLevel="0" collapsed="false">
      <c r="A5" s="6" t="s">
        <v>44</v>
      </c>
      <c r="B5" s="12" t="n">
        <v>19</v>
      </c>
      <c r="C5" s="12" t="n">
        <v>79</v>
      </c>
      <c r="D5" s="12" t="n">
        <v>299</v>
      </c>
      <c r="E5" s="12" t="n">
        <v>499</v>
      </c>
      <c r="F5" s="3" t="s">
        <v>45</v>
      </c>
    </row>
    <row r="6" customFormat="false" ht="15" hidden="false" customHeight="true" outlineLevel="0" collapsed="false">
      <c r="A6" s="6" t="s">
        <v>46</v>
      </c>
      <c r="B6" s="9" t="n">
        <v>10</v>
      </c>
      <c r="C6" s="9" t="n">
        <v>40</v>
      </c>
      <c r="D6" s="9" t="n">
        <v>150</v>
      </c>
      <c r="E6" s="9" t="n">
        <v>300</v>
      </c>
      <c r="F6" s="3" t="s">
        <v>47</v>
      </c>
    </row>
    <row r="7" customFormat="false" ht="18.75" hidden="false" customHeight="true" outlineLevel="0" collapsed="false">
      <c r="A7" s="6" t="s">
        <v>48</v>
      </c>
      <c r="B7" s="13" t="n">
        <f aca="false">-B5*Assumptions!$B$21*(Assumptions!$B$20/(1+Assumptions!$B$20))</f>
        <v>-3.29752066115702</v>
      </c>
      <c r="C7" s="13" t="n">
        <f aca="false">-C5*Assumptions!$B$21*(Assumptions!$B$20/(1+Assumptions!$B$20))</f>
        <v>-13.7107438016529</v>
      </c>
      <c r="D7" s="13" t="n">
        <f aca="false">-D5*Assumptions!$B$21*(Assumptions!$B$20/(1+Assumptions!$B$20))</f>
        <v>-51.8925619834711</v>
      </c>
      <c r="E7" s="13" t="n">
        <f aca="false">-E5*Assumptions!$B$21*(Assumptions!$B$20/(1+Assumptions!$B$20))</f>
        <v>-86.603305785124</v>
      </c>
      <c r="F7" s="8" t="s">
        <v>49</v>
      </c>
    </row>
    <row r="8" customFormat="false" ht="15" hidden="false" customHeight="true" outlineLevel="0" collapsed="false">
      <c r="A8" s="6" t="s">
        <v>50</v>
      </c>
      <c r="B8" s="13" t="n">
        <f aca="false">-(B5*Assumptions!$B$18+Assumptions!$B$19)</f>
        <v>-0.535</v>
      </c>
      <c r="C8" s="13" t="n">
        <f aca="false">-(C5*Assumptions!$B$18+Assumptions!$B$19)</f>
        <v>-1.435</v>
      </c>
      <c r="D8" s="13" t="n">
        <f aca="false">-(D5*Assumptions!$B$18+Assumptions!$B$19)</f>
        <v>-4.735</v>
      </c>
      <c r="E8" s="13" t="n">
        <f aca="false">-(E5*Assumptions!$B$18+Assumptions!$B$19)</f>
        <v>-7.735</v>
      </c>
      <c r="F8" s="8" t="s">
        <v>51</v>
      </c>
    </row>
    <row r="9" customFormat="false" ht="15" hidden="false" customHeight="true" outlineLevel="0" collapsed="false">
      <c r="A9" s="14" t="s">
        <v>52</v>
      </c>
      <c r="B9" s="13" t="n">
        <f aca="false">B5+B7+B8</f>
        <v>15.167479338843</v>
      </c>
      <c r="C9" s="13" t="n">
        <f aca="false">C5+C7+C8</f>
        <v>63.8542561983471</v>
      </c>
      <c r="D9" s="13" t="n">
        <f aca="false">D5+D7+D8</f>
        <v>242.372438016529</v>
      </c>
      <c r="E9" s="13" t="n">
        <f aca="false">E5+E7+E8</f>
        <v>404.661694214876</v>
      </c>
    </row>
    <row r="10" customFormat="false" ht="15" hidden="false" customHeight="true" outlineLevel="0" collapsed="false">
      <c r="A10" s="6" t="s">
        <v>53</v>
      </c>
      <c r="B10" s="15" t="n">
        <f aca="false">B6*Assumptions!$B$22</f>
        <v>7</v>
      </c>
      <c r="C10" s="15" t="n">
        <f aca="false">C6*Assumptions!$B$22</f>
        <v>28</v>
      </c>
      <c r="D10" s="15" t="n">
        <f aca="false">D6*Assumptions!$B$22</f>
        <v>105</v>
      </c>
      <c r="E10" s="15" t="n">
        <f aca="false">E6*Assumptions!$B$22</f>
        <v>210</v>
      </c>
      <c r="F10" s="8" t="s">
        <v>54</v>
      </c>
    </row>
    <row r="11" customFormat="false" ht="18.75" hidden="false" customHeight="true" outlineLevel="0" collapsed="false">
      <c r="A11" s="6" t="s">
        <v>55</v>
      </c>
      <c r="B11" s="13" t="n">
        <f aca="false">(Assumptions!$B$6*Assumptions!$B$9+Assumptions!$B$11)*Assumptions!$B$13</f>
        <v>0.471</v>
      </c>
      <c r="C11" s="13" t="n">
        <f aca="false">(Assumptions!$B$6*Assumptions!$B$9+Assumptions!$B$11)*Assumptions!$B$13</f>
        <v>0.471</v>
      </c>
      <c r="D11" s="13" t="n">
        <f aca="false">(Assumptions!$B$6*Assumptions!$B$9+Assumptions!$B$11)*Assumptions!$B$13</f>
        <v>0.471</v>
      </c>
      <c r="E11" s="13" t="n">
        <f aca="false">(Assumptions!$B$6*Assumptions!$B$9+Assumptions!$B$11)*Assumptions!$B$13</f>
        <v>0.471</v>
      </c>
      <c r="F11" s="8" t="s">
        <v>56</v>
      </c>
    </row>
    <row r="12" customFormat="false" ht="15" hidden="false" customHeight="true" outlineLevel="0" collapsed="false">
      <c r="A12" s="6" t="s">
        <v>57</v>
      </c>
      <c r="B12" s="13" t="n">
        <f aca="false">-B10*B11/Assumptions!$B$17</f>
        <v>-3.05277777777778</v>
      </c>
      <c r="C12" s="13" t="n">
        <f aca="false">-C10*C11/Assumptions!$B$17</f>
        <v>-12.2111111111111</v>
      </c>
      <c r="D12" s="13" t="n">
        <f aca="false">-D10*D11/Assumptions!$B$17</f>
        <v>-45.7916666666667</v>
      </c>
      <c r="E12" s="13" t="n">
        <f aca="false">-E10*E11/Assumptions!$B$17</f>
        <v>-91.5833333333334</v>
      </c>
    </row>
    <row r="13" customFormat="false" ht="15" hidden="false" customHeight="true" outlineLevel="0" collapsed="false">
      <c r="A13" s="14" t="s">
        <v>58</v>
      </c>
      <c r="B13" s="13" t="n">
        <f aca="false">B9+B12</f>
        <v>12.1147015610652</v>
      </c>
      <c r="C13" s="13" t="n">
        <f aca="false">C9+C12</f>
        <v>51.643145087236</v>
      </c>
      <c r="D13" s="13" t="n">
        <f aca="false">D9+D12</f>
        <v>196.580771349862</v>
      </c>
      <c r="E13" s="13" t="n">
        <f aca="false">E9+E12</f>
        <v>313.078360881543</v>
      </c>
    </row>
    <row r="14" customFormat="false" ht="15" hidden="false" customHeight="true" outlineLevel="0" collapsed="false">
      <c r="A14" s="14" t="s">
        <v>59</v>
      </c>
      <c r="B14" s="16" t="n">
        <f aca="false">IFERROR(B13/B5,0)</f>
        <v>0.63761587163501</v>
      </c>
      <c r="C14" s="16" t="n">
        <f aca="false">IFERROR(C13/C5,0)</f>
        <v>0.653710697306785</v>
      </c>
      <c r="D14" s="16" t="n">
        <f aca="false">IFERROR(D13/D5,0)</f>
        <v>0.657460773745359</v>
      </c>
      <c r="E14" s="16" t="n">
        <f aca="false">IFERROR(E13/E5,0)</f>
        <v>0.627411544852791</v>
      </c>
    </row>
    <row r="15" customFormat="false" ht="15" hidden="false" customHeight="true" outlineLevel="0" collapsed="false">
      <c r="A15" s="6" t="s">
        <v>60</v>
      </c>
      <c r="B15" s="15" t="n">
        <f aca="false">IFERROR(B9/(B11/Assumptions!$B$17),0)</f>
        <v>34.7789335158183</v>
      </c>
      <c r="C15" s="15" t="n">
        <f aca="false">IFERROR(C9/(C11/Assumptions!$B$17),0)</f>
        <v>146.417402747802</v>
      </c>
      <c r="D15" s="15" t="n">
        <f aca="false">IFERROR(D9/(D11/Assumptions!$B$17),0)</f>
        <v>555.75845659841</v>
      </c>
      <c r="E15" s="15" t="n">
        <f aca="false">IFERROR(E9/(E11/Assumptions!$B$17),0)</f>
        <v>927.88668737169</v>
      </c>
      <c r="F15" s="8" t="s">
        <v>61</v>
      </c>
    </row>
    <row r="16" customFormat="false" ht="15" hidden="false" customHeight="true" outlineLevel="0" collapsed="false">
      <c r="A16" s="14" t="s">
        <v>62</v>
      </c>
      <c r="B16" s="16" t="n">
        <f aca="false">IFERROR(B15/B6,0)</f>
        <v>3.47789335158183</v>
      </c>
      <c r="C16" s="16" t="n">
        <f aca="false">IFERROR(C15/C6,0)</f>
        <v>3.66043506869506</v>
      </c>
      <c r="D16" s="16" t="n">
        <f aca="false">IFERROR(D15/D6,0)</f>
        <v>3.70505637732273</v>
      </c>
      <c r="E16" s="16" t="n">
        <f aca="false">IFERROR(E15/E6,0)</f>
        <v>3.0929556245723</v>
      </c>
      <c r="F16" s="8" t="s">
        <v>63</v>
      </c>
    </row>
    <row r="18" customFormat="false" ht="18.75" hidden="false" customHeight="true" outlineLevel="0" collapsed="false">
      <c r="A18" s="14" t="s">
        <v>64</v>
      </c>
      <c r="B18" s="17" t="n">
        <f aca="false">B9/B6</f>
        <v>1.5167479338843</v>
      </c>
      <c r="C18" s="17" t="n">
        <f aca="false">C9/C6</f>
        <v>1.59635640495868</v>
      </c>
      <c r="D18" s="17" t="n">
        <f aca="false">D9/D6</f>
        <v>1.61581625344353</v>
      </c>
      <c r="E18" s="17" t="n">
        <f aca="false">E9/E6</f>
        <v>1.34887231404959</v>
      </c>
      <c r="F18" s="8" t="s">
        <v>65</v>
      </c>
    </row>
    <row r="19" customFormat="false" ht="15" hidden="false" customHeight="true" outlineLevel="0" collapsed="false">
      <c r="A19" s="6" t="s">
        <v>66</v>
      </c>
      <c r="B19" s="17" t="n">
        <f aca="false">B11/Assumptions!$B$17</f>
        <v>0.436111111111111</v>
      </c>
      <c r="C19" s="17" t="n">
        <f aca="false">C11/Assumptions!$B$17</f>
        <v>0.436111111111111</v>
      </c>
      <c r="D19" s="17" t="n">
        <f aca="false">D11/Assumptions!$B$17</f>
        <v>0.436111111111111</v>
      </c>
      <c r="E19" s="17" t="n">
        <f aca="false">E11/Assumptions!$B$17</f>
        <v>0.436111111111111</v>
      </c>
    </row>
    <row r="20" customFormat="false" ht="15" hidden="false" customHeight="true" outlineLevel="0" collapsed="false">
      <c r="A20" s="14" t="s">
        <v>67</v>
      </c>
      <c r="B20" s="18" t="n">
        <f aca="false">IFERROR(B18/B19,0)</f>
        <v>3.47789335158183</v>
      </c>
      <c r="C20" s="18" t="n">
        <f aca="false">IFERROR(C18/C19,0)</f>
        <v>3.66043506869506</v>
      </c>
      <c r="D20" s="18" t="n">
        <f aca="false">IFERROR(D18/D19,0)</f>
        <v>3.70505637732273</v>
      </c>
      <c r="E20" s="18" t="n">
        <f aca="false">IFERROR(E18/E19,0)</f>
        <v>3.0929556245723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1"/>
    <col collapsed="false" customWidth="true" hidden="false" outlineLevel="0" max="4" min="3" style="1" width="13"/>
    <col collapsed="false" customWidth="true" hidden="false" outlineLevel="0" max="5" min="5" style="1" width="72"/>
  </cols>
  <sheetData>
    <row r="1" customFormat="false" ht="15.75" hidden="false" customHeight="true" outlineLevel="0" collapsed="false">
      <c r="A1" s="2" t="s">
        <v>68</v>
      </c>
    </row>
    <row r="2" customFormat="false" ht="15" hidden="false" customHeight="true" outlineLevel="0" collapsed="false">
      <c r="A2" s="3" t="s">
        <v>69</v>
      </c>
    </row>
    <row r="4" customFormat="false" ht="15" hidden="false" customHeight="true" outlineLevel="0" collapsed="false">
      <c r="A4" s="11" t="s">
        <v>70</v>
      </c>
      <c r="B4" s="11" t="s">
        <v>71</v>
      </c>
      <c r="C4" s="11" t="s">
        <v>72</v>
      </c>
      <c r="D4" s="11" t="s">
        <v>73</v>
      </c>
      <c r="E4" s="11" t="s">
        <v>74</v>
      </c>
    </row>
    <row r="5" customFormat="false" ht="57.75" hidden="false" customHeight="true" outlineLevel="0" collapsed="false">
      <c r="A5" s="14" t="s">
        <v>75</v>
      </c>
      <c r="B5" s="19" t="s">
        <v>76</v>
      </c>
      <c r="C5" s="9" t="n">
        <v>50</v>
      </c>
      <c r="D5" s="17" t="n">
        <f aca="false">-C5*Assumptions!$B$10/Assumptions!$B$17</f>
        <v>-7.73148148148148</v>
      </c>
      <c r="E5" s="8" t="s">
        <v>77</v>
      </c>
    </row>
    <row r="6" customFormat="false" ht="57.75" hidden="false" customHeight="true" outlineLevel="0" collapsed="false">
      <c r="A6" s="14" t="s">
        <v>78</v>
      </c>
      <c r="B6" s="19" t="s">
        <v>79</v>
      </c>
      <c r="C6" s="9" t="n">
        <v>8</v>
      </c>
      <c r="D6" s="17" t="n">
        <f aca="false">-C6*(Assumptions!$B$6*Assumptions!$B$9+Assumptions!$B$11)*3/Assumptions!$B$17</f>
        <v>-6.66666666666667</v>
      </c>
      <c r="E6" s="8" t="s">
        <v>80</v>
      </c>
    </row>
    <row r="7" customFormat="false" ht="57.75" hidden="false" customHeight="true" outlineLevel="0" collapsed="false">
      <c r="A7" s="14" t="s">
        <v>81</v>
      </c>
      <c r="B7" s="20" t="s">
        <v>82</v>
      </c>
      <c r="C7" s="9" t="n">
        <v>20</v>
      </c>
      <c r="D7" s="17" t="n">
        <f aca="false">-C7*0.3/Assumptions!$B$17</f>
        <v>-5.55555555555556</v>
      </c>
      <c r="E7" s="8" t="s">
        <v>83</v>
      </c>
    </row>
    <row r="8" customFormat="false" ht="57.75" hidden="false" customHeight="true" outlineLevel="0" collapsed="false">
      <c r="A8" s="14" t="s">
        <v>84</v>
      </c>
      <c r="B8" s="20" t="s">
        <v>82</v>
      </c>
      <c r="C8" s="9" t="n">
        <v>100</v>
      </c>
      <c r="D8" s="17" t="n">
        <f aca="false">-C8*0.02/Assumptions!$B$17</f>
        <v>-1.85185185185185</v>
      </c>
      <c r="E8" s="8" t="s">
        <v>85</v>
      </c>
    </row>
    <row r="9" customFormat="false" ht="57.75" hidden="false" customHeight="true" outlineLevel="0" collapsed="false">
      <c r="A9" s="14" t="s">
        <v>86</v>
      </c>
      <c r="B9" s="20" t="s">
        <v>87</v>
      </c>
      <c r="C9" s="9" t="n">
        <v>2</v>
      </c>
      <c r="D9" s="17" t="n">
        <f aca="false">-C9*(Assumptions!$B$6*Assumptions!$B$9+Assumptions!$B$11)/Assumptions!$B$17</f>
        <v>-0.555555555555556</v>
      </c>
      <c r="E9" s="8" t="s">
        <v>88</v>
      </c>
    </row>
    <row r="10" customFormat="false" ht="18.75" hidden="false" customHeight="true" outlineLevel="0" collapsed="false">
      <c r="A10" s="14" t="s">
        <v>89</v>
      </c>
      <c r="D10" s="21" t="n">
        <f aca="false">SUM(D5:D9)</f>
        <v>-22.3611111111111</v>
      </c>
      <c r="E10" s="8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5"/>
    <col collapsed="false" customWidth="true" hidden="false" outlineLevel="0" max="4" min="4" style="1" width="20"/>
    <col collapsed="false" customWidth="true" hidden="false" outlineLevel="0" max="5" min="5" style="1" width="62"/>
  </cols>
  <sheetData>
    <row r="1" customFormat="false" ht="15.75" hidden="false" customHeight="true" outlineLevel="0" collapsed="false">
      <c r="A1" s="2" t="s">
        <v>91</v>
      </c>
    </row>
    <row r="2" customFormat="false" ht="15" hidden="false" customHeight="true" outlineLevel="0" collapsed="false">
      <c r="A2" s="3" t="s">
        <v>92</v>
      </c>
    </row>
    <row r="4" customFormat="false" ht="15" hidden="false" customHeight="true" outlineLevel="0" collapsed="false">
      <c r="A4" s="11" t="s">
        <v>93</v>
      </c>
      <c r="B4" s="11" t="s">
        <v>94</v>
      </c>
      <c r="C4" s="11" t="s">
        <v>95</v>
      </c>
      <c r="D4" s="11" t="s">
        <v>96</v>
      </c>
      <c r="E4" s="11" t="s">
        <v>97</v>
      </c>
    </row>
    <row r="5" customFormat="false" ht="30" hidden="false" customHeight="true" outlineLevel="0" collapsed="false">
      <c r="A5" s="22" t="s">
        <v>98</v>
      </c>
      <c r="B5" s="22" t="s">
        <v>99</v>
      </c>
      <c r="C5" s="22" t="s">
        <v>100</v>
      </c>
      <c r="D5" s="22" t="s">
        <v>101</v>
      </c>
      <c r="E5" s="23" t="s">
        <v>102</v>
      </c>
    </row>
    <row r="6" customFormat="false" ht="30" hidden="false" customHeight="true" outlineLevel="0" collapsed="false">
      <c r="A6" s="20" t="s">
        <v>103</v>
      </c>
      <c r="B6" s="20" t="s">
        <v>104</v>
      </c>
      <c r="C6" s="20" t="s">
        <v>105</v>
      </c>
      <c r="D6" s="20" t="s">
        <v>106</v>
      </c>
      <c r="E6" s="23" t="s">
        <v>107</v>
      </c>
    </row>
    <row r="7" customFormat="false" ht="30" hidden="false" customHeight="true" outlineLevel="0" collapsed="false">
      <c r="A7" s="20" t="s">
        <v>108</v>
      </c>
      <c r="B7" s="20" t="s">
        <v>109</v>
      </c>
      <c r="C7" s="20" t="s">
        <v>110</v>
      </c>
      <c r="D7" s="20" t="s">
        <v>111</v>
      </c>
      <c r="E7" s="23" t="s">
        <v>112</v>
      </c>
    </row>
    <row r="8" customFormat="false" ht="30" hidden="false" customHeight="true" outlineLevel="0" collapsed="false">
      <c r="A8" s="20" t="s">
        <v>113</v>
      </c>
      <c r="B8" s="20" t="s">
        <v>114</v>
      </c>
      <c r="C8" s="20" t="s">
        <v>110</v>
      </c>
      <c r="D8" s="20" t="s">
        <v>111</v>
      </c>
      <c r="E8" s="23" t="s">
        <v>115</v>
      </c>
    </row>
    <row r="9" customFormat="false" ht="30" hidden="false" customHeight="true" outlineLevel="0" collapsed="false">
      <c r="A9" s="20" t="s">
        <v>116</v>
      </c>
      <c r="B9" s="20" t="s">
        <v>117</v>
      </c>
      <c r="C9" s="20" t="s">
        <v>118</v>
      </c>
      <c r="D9" s="20" t="s">
        <v>119</v>
      </c>
      <c r="E9" s="23" t="s">
        <v>120</v>
      </c>
    </row>
    <row r="11" customFormat="false" ht="15" hidden="false" customHeight="true" outlineLevel="0" collapsed="false">
      <c r="A11" s="14" t="s">
        <v>121</v>
      </c>
    </row>
    <row r="12" customFormat="false" ht="30" hidden="false" customHeight="true" outlineLevel="0" collapsed="false">
      <c r="A12" s="24" t="s">
        <v>122</v>
      </c>
      <c r="B12" s="24"/>
      <c r="C12" s="24"/>
      <c r="D12" s="24"/>
      <c r="E12" s="24"/>
    </row>
    <row r="13" customFormat="false" ht="30" hidden="false" customHeight="true" outlineLevel="0" collapsed="false">
      <c r="A13" s="24" t="s">
        <v>123</v>
      </c>
      <c r="B13" s="24"/>
      <c r="C13" s="24"/>
      <c r="D13" s="24"/>
      <c r="E13" s="24"/>
    </row>
    <row r="14" customFormat="false" ht="30" hidden="false" customHeight="true" outlineLevel="0" collapsed="false">
      <c r="A14" s="24" t="s">
        <v>124</v>
      </c>
      <c r="B14" s="24"/>
      <c r="C14" s="24"/>
      <c r="D14" s="24"/>
      <c r="E14" s="24"/>
    </row>
    <row r="15" customFormat="false" ht="30" hidden="false" customHeight="true" outlineLevel="0" collapsed="false">
      <c r="A15" s="24" t="s">
        <v>125</v>
      </c>
      <c r="B15" s="24"/>
      <c r="C15" s="24"/>
      <c r="D15" s="24"/>
      <c r="E15" s="24"/>
    </row>
    <row r="17" customFormat="false" ht="18.75" hidden="false" customHeight="true" outlineLevel="0" collapsed="false">
      <c r="A17" s="25" t="s">
        <v>126</v>
      </c>
      <c r="B17" s="25"/>
      <c r="C17" s="25"/>
      <c r="D17" s="25"/>
      <c r="E17" s="25"/>
    </row>
  </sheetData>
  <mergeCells count="5">
    <mergeCell ref="A12:E12"/>
    <mergeCell ref="A13:E13"/>
    <mergeCell ref="A14:E14"/>
    <mergeCell ref="A15:E15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2026-08-10T02:24:33Z</dcterms:created>
  <dc:creator>openpyxl</dc:creator>
  <dc:description/>
  <dc:language>en-US</dc:language>
  <cp:lastModifiedBy/>
  <dcterms:modified xsi:type="dcterms:W3CDTF">2026-08-10T02:26:09Z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